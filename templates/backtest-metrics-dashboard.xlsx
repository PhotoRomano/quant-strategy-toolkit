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1B2230"/>
      <sz val="15"/>
    </font>
    <font>
      <i val="1"/>
      <color rgb="006B7894"/>
      <sz val="10"/>
    </font>
    <font>
      <b val="1"/>
      <color rgb="00FFFFFF"/>
      <sz val="11"/>
    </font>
    <font>
      <b val="1"/>
      <color rgb="001B2230"/>
    </font>
    <font>
      <color rgb="0044506B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26304A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5DCEA"/>
      </left>
      <right style="thin">
        <color rgb="00D5DCEA"/>
      </right>
      <top style="thin">
        <color rgb="00D5DCEA"/>
      </top>
      <bottom style="thin">
        <color rgb="00D5DCE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Strategy vs Benchmark (annual return 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'Metrics'!$A$5:$A$10</f>
            </numRef>
          </cat>
          <val>
            <numRef>
              <f>'Metrics'!$B$5:$B$10</f>
            </numRef>
          </val>
        </ser>
        <ser>
          <idx val="1"/>
          <order val="1"/>
          <tx>
            <strRef>
              <f>'Metrics'!C4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'Metrics'!$A$5:$A$10</f>
            </numRef>
          </cat>
          <val>
            <numRef>
              <f>'Metrics'!$C$5:$C$10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8" customWidth="1" min="3" max="3"/>
    <col width="16" customWidth="1" min="4" max="4"/>
    <col width="9" customWidth="1" min="5" max="5"/>
    <col width="12" customWidth="1" min="6" max="6"/>
  </cols>
  <sheetData>
    <row r="1" ht="22" customHeight="1">
      <c r="A1" s="1" t="inlineStr">
        <is>
          <t>Backtest Metrics Dashboard</t>
        </is>
      </c>
    </row>
    <row r="2">
      <c r="A2" s="2" t="inlineStr">
        <is>
          <t>Pairs with the metrics-report skill. Enter per-year results; summary stats and the chart update automatically. Numbers below are ILLUSTRATIVE placeholders — replace with your own.</t>
        </is>
      </c>
    </row>
    <row r="4" ht="30" customHeight="1">
      <c r="A4" s="3" t="inlineStr">
        <is>
          <t>Year</t>
        </is>
      </c>
      <c r="B4" s="3" t="inlineStr">
        <is>
          <t>Strategy return %</t>
        </is>
      </c>
      <c r="C4" s="3" t="inlineStr">
        <is>
          <t>Benchmark return %</t>
        </is>
      </c>
      <c r="D4" s="3" t="inlineStr">
        <is>
          <t>Max drawdown %</t>
        </is>
      </c>
      <c r="E4" s="3" t="inlineStr">
        <is>
          <t>Trades</t>
        </is>
      </c>
      <c r="F4" s="3" t="inlineStr">
        <is>
          <t>Win rate %</t>
        </is>
      </c>
    </row>
    <row r="5">
      <c r="A5" s="4" t="n">
        <v>2019</v>
      </c>
      <c r="B5" s="5" t="n">
        <v>12</v>
      </c>
      <c r="C5" s="5" t="n">
        <v>28.9</v>
      </c>
      <c r="D5" s="5" t="n">
        <v>-9</v>
      </c>
      <c r="E5" s="4" t="n">
        <v>30</v>
      </c>
      <c r="F5" s="5" t="n">
        <v>60</v>
      </c>
    </row>
    <row r="6">
      <c r="A6" s="6" t="n">
        <v>2020</v>
      </c>
      <c r="B6" s="7" t="n">
        <v>18</v>
      </c>
      <c r="C6" s="7" t="n">
        <v>16.3</v>
      </c>
      <c r="D6" s="7" t="n">
        <v>-12</v>
      </c>
      <c r="E6" s="6" t="n">
        <v>32</v>
      </c>
      <c r="F6" s="7" t="n">
        <v>58</v>
      </c>
    </row>
    <row r="7">
      <c r="A7" s="4" t="n">
        <v>2021</v>
      </c>
      <c r="B7" s="5" t="n">
        <v>14</v>
      </c>
      <c r="C7" s="5" t="n">
        <v>26.9</v>
      </c>
      <c r="D7" s="5" t="n">
        <v>-11</v>
      </c>
      <c r="E7" s="4" t="n">
        <v>34</v>
      </c>
      <c r="F7" s="5" t="n">
        <v>55</v>
      </c>
    </row>
    <row r="8">
      <c r="A8" s="6" t="n">
        <v>2022</v>
      </c>
      <c r="B8" s="7" t="n">
        <v>-6</v>
      </c>
      <c r="C8" s="7" t="n">
        <v>-19.4</v>
      </c>
      <c r="D8" s="7" t="n">
        <v>-14</v>
      </c>
      <c r="E8" s="6" t="n">
        <v>38</v>
      </c>
      <c r="F8" s="7" t="n">
        <v>45</v>
      </c>
    </row>
    <row r="9">
      <c r="A9" s="4" t="n">
        <v>2023</v>
      </c>
      <c r="B9" s="5" t="n">
        <v>21</v>
      </c>
      <c r="C9" s="5" t="n">
        <v>24.2</v>
      </c>
      <c r="D9" s="5" t="n">
        <v>-10</v>
      </c>
      <c r="E9" s="4" t="n">
        <v>31</v>
      </c>
      <c r="F9" s="5" t="n">
        <v>62</v>
      </c>
    </row>
    <row r="10">
      <c r="A10" s="6" t="n">
        <v>2024</v>
      </c>
      <c r="B10" s="7" t="n">
        <v>17</v>
      </c>
      <c r="C10" s="7" t="n">
        <v>23.3</v>
      </c>
      <c r="D10" s="7" t="n">
        <v>-13</v>
      </c>
      <c r="E10" s="6" t="n">
        <v>40</v>
      </c>
      <c r="F10" s="7" t="n">
        <v>53</v>
      </c>
    </row>
    <row r="12">
      <c r="A12" s="8" t="inlineStr">
        <is>
          <t>Summary</t>
        </is>
      </c>
    </row>
    <row r="13">
      <c r="A13" s="9" t="inlineStr">
        <is>
          <t>Avg strategy return %</t>
        </is>
      </c>
      <c r="B13" s="10">
        <f>AVERAGE(B5:B10)</f>
        <v/>
      </c>
    </row>
    <row r="14">
      <c r="A14" s="9" t="inlineStr">
        <is>
          <t>Avg benchmark return %</t>
        </is>
      </c>
      <c r="B14" s="10">
        <f>AVERAGE(C5:C10)</f>
        <v/>
      </c>
    </row>
    <row r="15">
      <c r="A15" s="9" t="inlineStr">
        <is>
          <t>Worst drawdown %</t>
        </is>
      </c>
      <c r="B15" s="10">
        <f>MIN(D5:D10)</f>
        <v/>
      </c>
    </row>
    <row r="16">
      <c r="A16" s="9" t="inlineStr">
        <is>
          <t>Avg win rate %</t>
        </is>
      </c>
      <c r="B16" s="10">
        <f>AVERAGE(F5:F10)</f>
        <v/>
      </c>
    </row>
    <row r="17">
      <c r="A17" s="9" t="inlineStr">
        <is>
          <t>Years beating benchmark</t>
        </is>
      </c>
      <c r="B17" s="11">
        <f>SUMPRODUCT(--(B5:B10&gt;C5:C10))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2026-05-29T03:16:17Z</dcterms:created>
  <dcterms:modified xmlns:dcterms="http://purl.org/dc/terms/" xmlns:xsi="http://www.w3.org/2001/XMLSchema-instance" xsi:type="dcterms:W3CDTF">2026-05-29T03:16:17Z</dcterms:modified>
</cp:coreProperties>
</file>